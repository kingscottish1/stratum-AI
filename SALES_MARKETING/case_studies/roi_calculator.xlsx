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I Calculator" sheetId="1" state="visible" r:id="rId1"/>
    <sheet xmlns:r="http://schemas.openxmlformats.org/officeDocument/2006/relationships" name="Benchmar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4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STRATUM AI ROI CALCULATOR — edit the input cells</t>
        </is>
      </c>
      <c r="B1" s="1" t="n"/>
    </row>
    <row r="2"/>
    <row r="3">
      <c r="A3" s="1" t="inlineStr">
        <is>
          <t>A. Costs</t>
        </is>
      </c>
      <c r="B3" s="1" t="n"/>
    </row>
    <row r="4">
      <c r="A4" t="inlineStr">
        <is>
          <t>Platform fee ($/mo)</t>
        </is>
      </c>
      <c r="B4" s="2" t="n">
        <v>1300</v>
      </c>
    </row>
    <row r="5">
      <c r="A5" s="1" t="inlineStr">
        <is>
          <t>Implementation (one-time)</t>
        </is>
      </c>
      <c r="B5" s="3" t="n">
        <v>5500</v>
      </c>
    </row>
    <row r="6"/>
    <row r="7">
      <c r="A7" t="inlineStr">
        <is>
          <t>B. Savings — staff time</t>
        </is>
      </c>
    </row>
    <row r="8">
      <c r="A8" t="inlineStr">
        <is>
          <t>Staff hourly cost ($)</t>
        </is>
      </c>
      <c r="B8" s="2" t="n">
        <v>22</v>
      </c>
    </row>
    <row r="9">
      <c r="A9" t="inlineStr">
        <is>
          <t>Hours saved per month</t>
        </is>
      </c>
      <c r="B9" s="2" t="n">
        <v>40</v>
      </c>
    </row>
    <row r="10">
      <c r="A10" s="1" t="inlineStr">
        <is>
          <t>Monthly staff savings ($)</t>
        </is>
      </c>
      <c r="B10" s="1">
        <f>B7*B8</f>
        <v/>
      </c>
    </row>
    <row r="11"/>
    <row r="12">
      <c r="A12" t="inlineStr">
        <is>
          <t>C. Savings — outcomes</t>
        </is>
      </c>
    </row>
    <row r="13">
      <c r="A13" t="inlineStr">
        <is>
          <t>Revenue per booking/deal ($)</t>
        </is>
      </c>
      <c r="B13" s="2" t="n">
        <v>250</v>
      </c>
    </row>
    <row r="14">
      <c r="A14" t="inlineStr">
        <is>
          <t>Extra bookings/deals per month (AI)</t>
        </is>
      </c>
      <c r="B14" s="2" t="n">
        <v>40</v>
      </c>
    </row>
    <row r="15">
      <c r="A15" s="1" t="inlineStr">
        <is>
          <t>Monthly outcome value ($)</t>
        </is>
      </c>
      <c r="B15" s="1">
        <f>B12*B13</f>
        <v/>
      </c>
    </row>
    <row r="16"/>
    <row r="17">
      <c r="A17" t="inlineStr">
        <is>
          <t>D. Summary</t>
        </is>
      </c>
    </row>
    <row r="18">
      <c r="A18" t="inlineStr">
        <is>
          <t>Total monthly value ($)</t>
        </is>
      </c>
      <c r="B18">
        <f>B9+B14</f>
        <v/>
      </c>
    </row>
    <row r="19">
      <c r="A19" t="inlineStr">
        <is>
          <t>Platform fee ($/mo)</t>
        </is>
      </c>
      <c r="B19">
        <f>B4</f>
        <v/>
      </c>
    </row>
    <row r="20">
      <c r="A20" t="inlineStr">
        <is>
          <t>Net monthly value ($)</t>
        </is>
      </c>
      <c r="B20">
        <f>B16-B17</f>
        <v/>
      </c>
    </row>
    <row r="21">
      <c r="A21" t="inlineStr">
        <is>
          <t>Annual net value ($)</t>
        </is>
      </c>
      <c r="B21">
        <f>B18*12</f>
        <v/>
      </c>
    </row>
    <row r="22">
      <c r="A22" t="inlineStr">
        <is>
          <t>ROI multiple (annual value / annual fee)</t>
        </is>
      </c>
      <c r="B22">
        <f>B19/(B4*12)</f>
        <v/>
      </c>
    </row>
    <row r="23">
      <c r="A23" t="inlineStr">
        <is>
          <t>Payback period (months)</t>
        </is>
      </c>
      <c r="B23">
        <f>B5/B18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4" customWidth="1" min="3" max="3"/>
    <col width="12" customWidth="1" min="4" max="4"/>
  </cols>
  <sheetData>
    <row r="1">
      <c r="A1" s="1" t="inlineStr">
        <is>
          <t>Vertical</t>
        </is>
      </c>
      <c r="B1" s="1" t="inlineStr">
        <is>
          <t>Typical monthly value delivered</t>
        </is>
      </c>
      <c r="C1" s="1" t="inlineStr">
        <is>
          <t>Platform fee</t>
        </is>
      </c>
      <c r="D1" s="1" t="inlineStr">
        <is>
          <t>ROI multiple</t>
        </is>
      </c>
    </row>
    <row r="2">
      <c r="A2" t="inlineStr">
        <is>
          <t>Medical/Dental</t>
        </is>
      </c>
      <c r="B2" t="n">
        <v>2500</v>
      </c>
      <c r="C2" t="n">
        <v>1300</v>
      </c>
      <c r="D2">
        <f>B2/C2</f>
        <v/>
      </c>
    </row>
    <row r="3">
      <c r="A3" t="inlineStr">
        <is>
          <t>Real Estate</t>
        </is>
      </c>
      <c r="B3" t="n">
        <v>4200</v>
      </c>
      <c r="C3" t="n">
        <v>2000</v>
      </c>
      <c r="D3">
        <f>B3/C3</f>
        <v/>
      </c>
    </row>
    <row r="4">
      <c r="A4" t="inlineStr">
        <is>
          <t>Logistics</t>
        </is>
      </c>
      <c r="B4" t="n">
        <v>6500</v>
      </c>
      <c r="C4" t="n">
        <v>3200</v>
      </c>
      <c r="D4">
        <f>B4/C4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2026-08-03T18:40:49Z</dcterms:created>
  <dcterms:modified xmlns:dcterms="http://purl.org/dc/terms/" xmlns:xsi="http://www.w3.org/2001/XMLSchema-instance" xsi:type="dcterms:W3CDTF">2026-08-03T18:40:49Z</dcterms:modified>
</cp:coreProperties>
</file>